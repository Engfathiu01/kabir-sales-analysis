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gal\IOTB-Projects\kabir-sales-analysis\data\"/>
    </mc:Choice>
  </mc:AlternateContent>
  <xr:revisionPtr revIDLastSave="0" documentId="13_ncr:1_{2FFDA43C-BBF8-43FD-8901-3A2D974C9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able" sheetId="1" r:id="rId1"/>
  </sheets>
  <definedNames>
    <definedName name="amount">'Sales Table'!$F$3:$F$26</definedName>
    <definedName name="quantity_sold">'Sales Table'!$E$3:$E$26</definedName>
    <definedName name="sales_rep">'Sales Table'!$D$3:$D$26</definedName>
    <definedName name="year">'Sales Table'!$C$3:$C$26</definedName>
    <definedName name="years">'Sales Table'!$C$3:$C$26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8" i="1" l="1"/>
  <c r="T9" i="1"/>
  <c r="Y18" i="1"/>
  <c r="O17" i="1"/>
  <c r="O18" i="1"/>
  <c r="O19" i="1"/>
  <c r="O20" i="1"/>
  <c r="O16" i="1"/>
  <c r="N17" i="1"/>
  <c r="N18" i="1"/>
  <c r="N19" i="1"/>
  <c r="N20" i="1"/>
  <c r="N16" i="1"/>
  <c r="I16" i="1"/>
  <c r="I17" i="1"/>
  <c r="I18" i="1"/>
  <c r="I19" i="1"/>
  <c r="I20" i="1"/>
  <c r="I21" i="1"/>
  <c r="J21" i="1"/>
  <c r="J20" i="1"/>
  <c r="J19" i="1"/>
  <c r="J18" i="1"/>
  <c r="J17" i="1"/>
  <c r="J16" i="1"/>
  <c r="P5" i="1"/>
  <c r="P6" i="1"/>
  <c r="P7" i="1"/>
  <c r="P8" i="1"/>
  <c r="P4" i="1"/>
  <c r="Z19" i="1"/>
  <c r="Z20" i="1"/>
  <c r="Z21" i="1"/>
  <c r="Z22" i="1"/>
  <c r="Z18" i="1"/>
  <c r="Y19" i="1"/>
  <c r="Y20" i="1"/>
  <c r="Y21" i="1"/>
  <c r="Y22" i="1"/>
  <c r="X19" i="1"/>
  <c r="X20" i="1"/>
  <c r="X21" i="1"/>
  <c r="X22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U19" i="1" l="1"/>
  <c r="I8" i="1"/>
  <c r="S7" i="1"/>
  <c r="T7" i="1" s="1"/>
  <c r="S8" i="1"/>
  <c r="S9" i="1"/>
  <c r="S29" i="1"/>
  <c r="K7" i="1"/>
  <c r="J9" i="1"/>
  <c r="S20" i="1"/>
  <c r="J5" i="1"/>
  <c r="U17" i="1"/>
  <c r="K8" i="1"/>
  <c r="T27" i="1"/>
  <c r="T17" i="1"/>
  <c r="T20" i="1"/>
  <c r="I5" i="1"/>
  <c r="J8" i="1"/>
  <c r="T29" i="1"/>
  <c r="S18" i="1"/>
  <c r="U20" i="1"/>
  <c r="I9" i="1"/>
  <c r="T28" i="1"/>
  <c r="T18" i="1"/>
  <c r="S21" i="1"/>
  <c r="J7" i="1"/>
  <c r="U27" i="1"/>
  <c r="U18" i="1"/>
  <c r="T21" i="1"/>
  <c r="I7" i="1"/>
  <c r="K6" i="1"/>
  <c r="U29" i="1"/>
  <c r="S19" i="1"/>
  <c r="U21" i="1"/>
  <c r="I6" i="1"/>
  <c r="J6" i="1"/>
  <c r="S28" i="1"/>
  <c r="S27" i="1"/>
  <c r="U28" i="1"/>
  <c r="T19" i="1"/>
  <c r="K9" i="1"/>
  <c r="K5" i="1"/>
  <c r="S17" i="1"/>
  <c r="T8" i="1" l="1"/>
</calcChain>
</file>

<file path=xl/sharedStrings.xml><?xml version="1.0" encoding="utf-8"?>
<sst xmlns="http://schemas.openxmlformats.org/spreadsheetml/2006/main" count="90" uniqueCount="32">
  <si>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</si>
  <si>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</si>
  <si>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</si>
  <si>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</si>
  <si>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</si>
  <si>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</si>
  <si>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</si>
  <si>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</si>
  <si>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</si>
  <si>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</si>
  <si>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</si>
  <si>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</si>
  <si>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</si>
  <si>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</si>
  <si>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</si>
  <si>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</si>
  <si>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</si>
  <si>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</si>
  <si>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</si>
  <si>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</si>
  <si>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</si>
  <si>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</si>
  <si>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</si>
  <si>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</si>
  <si>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</si>
  <si>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No. of Transactions</t>
  </si>
  <si>
    <t>Total Revenue</t>
  </si>
  <si>
    <t>Representative Performance Table</t>
  </si>
  <si>
    <t>Yearly Summary Table</t>
  </si>
  <si>
    <t>Year over Year Change</t>
  </si>
  <si>
    <t>Total Quantity Sold</t>
  </si>
  <si>
    <t>Year over Year Analysis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</si>
</sst>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_-[$₦-46A]* #,##0.00_-;\-[$₦-46A]* #,##0.00_-;_-[$₦-46A]* &quot;-&quot;??_-;_-@_-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/>
      <diagonal/>
    </border>
    <border>
      <left style="thin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165" fontId="1" fillId="0" borderId="5" xfId="1" applyNumberFormat="1" applyFont="1" applyFill="1" applyBorder="1" applyAlignment="1"/>
    <xf numFmtId="165" fontId="0" fillId="0" borderId="1" xfId="0" applyNumberFormat="1" applyBorder="1"/>
    <xf numFmtId="166" fontId="6" fillId="0" borderId="1" xfId="2" applyNumberFormat="1" applyFont="1" applyBorder="1"/>
    <xf numFmtId="166" fontId="0" fillId="0" borderId="0" xfId="0" applyNumberFormat="1"/>
    <xf numFmtId="165" fontId="0" fillId="0" borderId="0" xfId="0" applyNumberFormat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Border="1"/>
    <xf numFmtId="0" fontId="3" fillId="4" borderId="19" xfId="0" applyFont="1" applyFill="1" applyBorder="1"/>
    <xf numFmtId="0" fontId="0" fillId="0" borderId="16" xfId="0" applyBorder="1"/>
    <xf numFmtId="0" fontId="0" fillId="0" borderId="20" xfId="0" applyBorder="1"/>
    <xf numFmtId="44" fontId="1" fillId="0" borderId="5" xfId="2" applyFont="1" applyFill="1" applyBorder="1" applyAlignment="1"/>
    <xf numFmtId="44" fontId="0" fillId="0" borderId="6" xfId="2" applyFont="1" applyBorder="1"/>
    <xf numFmtId="44" fontId="0" fillId="0" borderId="1" xfId="2" applyFont="1" applyBorder="1"/>
    <xf numFmtId="44" fontId="0" fillId="0" borderId="20" xfId="2" applyFont="1" applyBorder="1"/>
    <xf numFmtId="0" fontId="2" fillId="5" borderId="21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9" fontId="0" fillId="0" borderId="4" xfId="3" applyFont="1" applyBorder="1"/>
    <xf numFmtId="167" fontId="0" fillId="0" borderId="4" xfId="3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topLeftCell="B1" zoomScale="93" zoomScaleNormal="70" workbookViewId="0">
      <selection activeCell="T9" sqref="T9"/>
    </sheetView>
  </sheetViews>
  <sheetFormatPr defaultRowHeight="14.4" x14ac:dyDescent="0.3"/>
  <cols>
    <col min="2" max="2" width="10.109375" bestFit="1" customWidth="1"/>
    <col min="4" max="4" width="12" bestFit="1" customWidth="1"/>
    <col min="5" max="5" width="16.44140625" bestFit="1" customWidth="1"/>
    <col min="6" max="6" width="12.44140625" bestFit="1" customWidth="1"/>
    <col min="8" max="8" width="10" bestFit="1" customWidth="1"/>
    <col min="9" max="10" width="12.6640625" bestFit="1" customWidth="1"/>
    <col min="11" max="11" width="11.6640625" bestFit="1" customWidth="1"/>
    <col min="15" max="15" width="11.6640625" bestFit="1" customWidth="1"/>
    <col min="19" max="19" width="12.88671875" customWidth="1"/>
    <col min="20" max="20" width="20.44140625" bestFit="1" customWidth="1"/>
    <col min="21" max="21" width="17.6640625" customWidth="1"/>
    <col min="23" max="23" width="8.88671875" bestFit="1" customWidth="1"/>
    <col min="24" max="24" width="17.21875" bestFit="1" customWidth="1"/>
    <col min="25" max="25" width="14" bestFit="1" customWidth="1"/>
    <col min="26" max="26" width="16.77734375" bestFit="1" customWidth="1"/>
  </cols>
  <sheetData>
    <row r="1" spans="1:26" ht="24.6" x14ac:dyDescent="0.4">
      <c r="A1" s="35" t="s">
        <v>0</v>
      </c>
      <c r="B1" s="35"/>
      <c r="C1" s="35"/>
      <c r="D1" s="35"/>
      <c r="E1" s="35"/>
      <c r="F1" s="35"/>
    </row>
    <row r="2" spans="1:26" ht="18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6" ht="15" thickBot="1" x14ac:dyDescent="0.35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26">
        <v>16720</v>
      </c>
      <c r="G3" s="4"/>
      <c r="I3" s="29" t="s">
        <v>24</v>
      </c>
      <c r="J3" s="30"/>
      <c r="K3" s="31"/>
      <c r="N3" s="6"/>
      <c r="O3" s="7" t="s">
        <v>9</v>
      </c>
      <c r="P3" s="8" t="s">
        <v>10</v>
      </c>
    </row>
    <row r="4" spans="1:26" ht="15" thickBot="1" x14ac:dyDescent="0.3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26">
        <v>12980</v>
      </c>
      <c r="G4" s="5"/>
      <c r="H4" s="18" t="s">
        <v>4</v>
      </c>
      <c r="I4" s="19">
        <v>2010</v>
      </c>
      <c r="J4" s="20">
        <v>2011</v>
      </c>
      <c r="K4" s="21">
        <v>2012</v>
      </c>
      <c r="N4" s="32" t="s">
        <v>12</v>
      </c>
      <c r="O4" s="12" t="s">
        <v>13</v>
      </c>
      <c r="P4" s="13">
        <f>COUNTIF(sales_rep, O4)</f>
        <v>6</v>
      </c>
    </row>
    <row r="5" spans="1:26" ht="15" thickBot="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26">
        <v>12320</v>
      </c>
      <c r="H5" s="22" t="s">
        <v>13</v>
      </c>
      <c r="I5" s="43">
        <f>SUMIFS(amount,sales_rep,$H5,year,I$4)</f>
        <v>12320</v>
      </c>
      <c r="J5" s="43">
        <f>SUMIFS(amount,sales_rep,$H5,year,J$4)</f>
        <v>23100</v>
      </c>
      <c r="K5" s="43">
        <f>SUMIFS(amount,sales_rep,$H5,year,K$4)</f>
        <v>25520</v>
      </c>
      <c r="N5" s="33"/>
      <c r="O5" s="12" t="s">
        <v>7</v>
      </c>
      <c r="P5" s="13">
        <f>COUNTIF(sales_rep, O5)</f>
        <v>3</v>
      </c>
      <c r="R5" s="47" t="s">
        <v>31</v>
      </c>
      <c r="S5" s="48"/>
      <c r="T5" s="48"/>
    </row>
    <row r="6" spans="1:26" ht="15" thickBot="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26">
        <v>10560</v>
      </c>
      <c r="H6" s="22" t="s">
        <v>7</v>
      </c>
      <c r="I6" s="43">
        <f>SUMIFS(amount,sales_rep,$H6,year,I$4)</f>
        <v>16720</v>
      </c>
      <c r="J6" s="43">
        <f>SUMIFS(amount,sales_rep,$H6,year,J$4)</f>
        <v>6160</v>
      </c>
      <c r="K6" s="43">
        <f>SUMIFS(amount,sales_rep,$H6,year,K$4)</f>
        <v>7920</v>
      </c>
      <c r="N6" s="33"/>
      <c r="O6" s="12" t="s">
        <v>15</v>
      </c>
      <c r="P6" s="13">
        <f>COUNTIF(sales_rep, O6)</f>
        <v>5</v>
      </c>
      <c r="R6" s="40" t="s">
        <v>3</v>
      </c>
      <c r="S6" s="40" t="s">
        <v>26</v>
      </c>
      <c r="T6" s="40" t="s">
        <v>29</v>
      </c>
    </row>
    <row r="7" spans="1:26" ht="15" thickBot="1" x14ac:dyDescent="0.3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26">
        <v>8800</v>
      </c>
      <c r="H7" s="22" t="s">
        <v>15</v>
      </c>
      <c r="I7" s="43">
        <f>SUMIFS(amount,sales_rep,$H7,year,I$4)</f>
        <v>26840</v>
      </c>
      <c r="J7" s="43">
        <f>SUMIFS(amount,sales_rep,$H7,year,J$4)</f>
        <v>0</v>
      </c>
      <c r="K7" s="43">
        <f>SUMIFS(amount,sales_rep,$H7,year,K$4)</f>
        <v>15840</v>
      </c>
      <c r="N7" s="33"/>
      <c r="O7" s="12" t="s">
        <v>18</v>
      </c>
      <c r="P7" s="13">
        <f>COUNTIF(sales_rep, O7)</f>
        <v>3</v>
      </c>
      <c r="R7" s="41">
        <v>2010</v>
      </c>
      <c r="S7" s="46">
        <f>SUMIF(year,R7,amount)</f>
        <v>104720</v>
      </c>
      <c r="T7" s="49">
        <f>(S7-S7)/S7</f>
        <v>0</v>
      </c>
    </row>
    <row r="8" spans="1:26" ht="15" thickBot="1" x14ac:dyDescent="0.3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26">
        <v>19800</v>
      </c>
      <c r="H8" s="22" t="s">
        <v>18</v>
      </c>
      <c r="I8" s="43">
        <f>SUMIFS(amount,sales_rep,$H8,year,I$4)</f>
        <v>19800</v>
      </c>
      <c r="J8" s="43">
        <f>SUMIFS(amount,sales_rep,$H8,year,J$4)</f>
        <v>20900</v>
      </c>
      <c r="K8" s="43">
        <f>SUMIFS(amount,sales_rep,$H8,year,K$4)</f>
        <v>11440</v>
      </c>
      <c r="N8" s="34"/>
      <c r="O8" s="15" t="s">
        <v>11</v>
      </c>
      <c r="P8" s="13">
        <f>COUNTIF(sales_rep, O8)</f>
        <v>7</v>
      </c>
      <c r="R8" s="14">
        <v>2011</v>
      </c>
      <c r="S8" s="46">
        <f>SUMIF(year,R8,amount)</f>
        <v>83600</v>
      </c>
      <c r="T8" s="50">
        <f>(S8-S7)/S7</f>
        <v>-0.20168067226890757</v>
      </c>
    </row>
    <row r="9" spans="1:26" ht="15" thickBot="1" x14ac:dyDescent="0.3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26">
        <v>5280</v>
      </c>
      <c r="H9" s="23" t="s">
        <v>11</v>
      </c>
      <c r="I9" s="43">
        <f>SUMIFS(amount,sales_rep,$H9,year,I$4)</f>
        <v>29040</v>
      </c>
      <c r="J9" s="43">
        <f>SUMIFS(amount,sales_rep,$H9,year,J$4)</f>
        <v>33440</v>
      </c>
      <c r="K9" s="43">
        <f>SUMIFS(amount,sales_rep,$H9,year,K$4)</f>
        <v>20240</v>
      </c>
      <c r="R9" s="22">
        <v>2012</v>
      </c>
      <c r="S9" s="46">
        <f>SUMIF(year,R9,amount)</f>
        <v>80960</v>
      </c>
      <c r="T9" s="50">
        <f>(S9-S8)/S8</f>
        <v>-3.1578947368421054E-2</v>
      </c>
    </row>
    <row r="10" spans="1:26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26">
        <v>11000</v>
      </c>
    </row>
    <row r="11" spans="1:26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26">
        <v>7260</v>
      </c>
      <c r="I11" s="39"/>
    </row>
    <row r="12" spans="1:26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26">
        <v>20900</v>
      </c>
    </row>
    <row r="13" spans="1:26" ht="15" thickBot="1" x14ac:dyDescent="0.3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26">
        <v>12540</v>
      </c>
    </row>
    <row r="14" spans="1:26" ht="15" thickBot="1" x14ac:dyDescent="0.3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26">
        <v>10560</v>
      </c>
      <c r="H14" s="36" t="s">
        <v>8</v>
      </c>
      <c r="I14" s="37"/>
      <c r="J14" s="38"/>
    </row>
    <row r="15" spans="1:26" ht="15" thickBot="1" x14ac:dyDescent="0.3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26">
        <v>19360</v>
      </c>
      <c r="H15" s="9"/>
      <c r="I15" s="10" t="s">
        <v>10</v>
      </c>
      <c r="J15" s="11" t="s">
        <v>6</v>
      </c>
      <c r="L15" s="6"/>
      <c r="M15" s="7" t="s">
        <v>9</v>
      </c>
      <c r="N15" s="7" t="s">
        <v>10</v>
      </c>
      <c r="O15" s="8" t="s">
        <v>6</v>
      </c>
      <c r="S15" s="29" t="s">
        <v>22</v>
      </c>
      <c r="T15" s="30"/>
      <c r="U15" s="31"/>
    </row>
    <row r="16" spans="1:26" ht="15" thickBot="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26">
        <v>6160</v>
      </c>
      <c r="H16" s="14" t="s">
        <v>14</v>
      </c>
      <c r="I16" s="25">
        <f>SUM(quantity_sold)</f>
        <v>1224</v>
      </c>
      <c r="J16" s="44">
        <f>SUM(amount)</f>
        <v>269280</v>
      </c>
      <c r="L16" s="32" t="s">
        <v>23</v>
      </c>
      <c r="M16" s="12" t="s">
        <v>13</v>
      </c>
      <c r="N16" s="12">
        <f>SUMIF(sales_rep,M16,quantity_sold)</f>
        <v>277</v>
      </c>
      <c r="O16" s="45">
        <f>SUMIF(sales_rep,M16,amount)</f>
        <v>60940</v>
      </c>
      <c r="R16" s="18" t="s">
        <v>4</v>
      </c>
      <c r="S16" s="19">
        <v>2010</v>
      </c>
      <c r="T16" s="20">
        <v>2011</v>
      </c>
      <c r="U16" s="21">
        <v>2012</v>
      </c>
      <c r="W16" s="47" t="s">
        <v>27</v>
      </c>
      <c r="X16" s="48"/>
      <c r="Y16" s="48"/>
      <c r="Z16" s="48"/>
    </row>
    <row r="17" spans="1:26" ht="15" thickBot="1" x14ac:dyDescent="0.3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26">
        <v>14080</v>
      </c>
      <c r="H17" s="14" t="s">
        <v>16</v>
      </c>
      <c r="I17" s="12">
        <f>MIN(quantity_sold)</f>
        <v>24</v>
      </c>
      <c r="J17" s="44">
        <f>MIN(amount)</f>
        <v>5280</v>
      </c>
      <c r="L17" s="33"/>
      <c r="M17" s="12" t="s">
        <v>7</v>
      </c>
      <c r="N17" s="12">
        <f>SUMIF(sales_rep,M17,quantity_sold)</f>
        <v>140</v>
      </c>
      <c r="O17" s="45">
        <f>SUMIF(sales_rep,M17,amount)</f>
        <v>30800</v>
      </c>
      <c r="R17" s="22" t="s">
        <v>13</v>
      </c>
      <c r="S17" s="24">
        <f>SUMIFS(quantity_sold,sales_rep,$R17,year,S$16)</f>
        <v>56</v>
      </c>
      <c r="T17" s="24">
        <f>SUMIFS(quantity_sold,sales_rep,$R17,year,T$16)</f>
        <v>105</v>
      </c>
      <c r="U17" s="24">
        <f>SUMIFS(quantity_sold,sales_rep,$R17,year,U$16)</f>
        <v>116</v>
      </c>
      <c r="W17" s="40" t="s">
        <v>4</v>
      </c>
      <c r="X17" s="40" t="s">
        <v>25</v>
      </c>
      <c r="Y17" s="40" t="s">
        <v>26</v>
      </c>
      <c r="Z17" s="40" t="s">
        <v>30</v>
      </c>
    </row>
    <row r="18" spans="1:26" ht="15" thickBot="1" x14ac:dyDescent="0.3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26">
        <v>11220</v>
      </c>
      <c r="H18" s="14" t="s">
        <v>17</v>
      </c>
      <c r="I18" s="12">
        <f>MAX(quantity_sold)</f>
        <v>95</v>
      </c>
      <c r="J18" s="44">
        <f>MAX(amount)</f>
        <v>20900</v>
      </c>
      <c r="L18" s="33"/>
      <c r="M18" s="12" t="s">
        <v>15</v>
      </c>
      <c r="N18" s="12">
        <f>SUMIF(sales_rep,M18,quantity_sold)</f>
        <v>194</v>
      </c>
      <c r="O18" s="45">
        <f>SUMIF(sales_rep,M18,amount)</f>
        <v>42680</v>
      </c>
      <c r="R18" s="22" t="s">
        <v>7</v>
      </c>
      <c r="S18" s="24">
        <f>SUMIFS(quantity_sold,sales_rep,$R18,year,S$16)</f>
        <v>76</v>
      </c>
      <c r="T18" s="24">
        <f>SUMIFS(quantity_sold,sales_rep,$R18,year,T$16)</f>
        <v>28</v>
      </c>
      <c r="U18" s="24">
        <f>SUMIFS(quantity_sold,sales_rep,$R18,year,U$16)</f>
        <v>36</v>
      </c>
      <c r="W18" s="41" t="s">
        <v>13</v>
      </c>
      <c r="X18" s="42">
        <f>COUNTIF(sales_rep, W18)</f>
        <v>6</v>
      </c>
      <c r="Y18" s="46">
        <f>SUMIF(sales_rep,W18,amount)</f>
        <v>60940</v>
      </c>
      <c r="Z18" s="21">
        <f>SUMIF(sales_rep,W18,quantity_sold)</f>
        <v>277</v>
      </c>
    </row>
    <row r="19" spans="1:26" ht="15" thickBot="1" x14ac:dyDescent="0.3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26">
        <v>5500</v>
      </c>
      <c r="H19" s="14" t="s">
        <v>19</v>
      </c>
      <c r="I19" s="12">
        <f>AVERAGE(quantity_sold)</f>
        <v>51</v>
      </c>
      <c r="J19" s="44">
        <f>AVERAGE(amount)</f>
        <v>11220</v>
      </c>
      <c r="L19" s="33"/>
      <c r="M19" s="12" t="s">
        <v>18</v>
      </c>
      <c r="N19" s="12">
        <f>SUMIF(sales_rep,M19,quantity_sold)</f>
        <v>237</v>
      </c>
      <c r="O19" s="45">
        <f>SUMIF(sales_rep,M19,amount)</f>
        <v>52140</v>
      </c>
      <c r="R19" s="22" t="s">
        <v>15</v>
      </c>
      <c r="S19" s="24">
        <f>SUMIFS(quantity_sold,sales_rep,$R19,year,S$16)</f>
        <v>122</v>
      </c>
      <c r="T19" s="24">
        <f>SUMIFS(quantity_sold,sales_rep,$R19,year,T$16)</f>
        <v>0</v>
      </c>
      <c r="U19" s="24">
        <f>SUMIFS(quantity_sold,sales_rep,$R19,year,U$16)</f>
        <v>72</v>
      </c>
      <c r="W19" s="14" t="s">
        <v>7</v>
      </c>
      <c r="X19" s="42">
        <f>COUNTIF(sales_rep, W19)</f>
        <v>3</v>
      </c>
      <c r="Y19" s="46">
        <f>SUMIF(sales_rep,W19,amount)</f>
        <v>30800</v>
      </c>
      <c r="Z19" s="21">
        <f>SUMIF(sales_rep,W19,quantity_sold)</f>
        <v>140</v>
      </c>
    </row>
    <row r="20" spans="1:26" ht="15" thickBot="1" x14ac:dyDescent="0.3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26">
        <v>7040</v>
      </c>
      <c r="H20" s="14" t="s">
        <v>20</v>
      </c>
      <c r="I20" s="12">
        <f>COUNT(quantity_sold)</f>
        <v>24</v>
      </c>
      <c r="J20" s="13">
        <f>COUNT(amount)</f>
        <v>24</v>
      </c>
      <c r="L20" s="34"/>
      <c r="M20" s="15" t="s">
        <v>11</v>
      </c>
      <c r="N20" s="12">
        <f>SUMIF(sales_rep,M20,quantity_sold)</f>
        <v>376</v>
      </c>
      <c r="O20" s="45">
        <f>SUMIF(sales_rep,M20,amount)</f>
        <v>82720</v>
      </c>
      <c r="R20" s="22" t="s">
        <v>18</v>
      </c>
      <c r="S20" s="24">
        <f>SUMIFS(quantity_sold,sales_rep,$R20,year,S$16)</f>
        <v>90</v>
      </c>
      <c r="T20" s="24">
        <f>SUMIFS(quantity_sold,sales_rep,$R20,year,T$16)</f>
        <v>95</v>
      </c>
      <c r="U20" s="24">
        <f>SUMIFS(quantity_sold,sales_rep,$R20,year,U$16)</f>
        <v>52</v>
      </c>
      <c r="W20" s="22" t="s">
        <v>15</v>
      </c>
      <c r="X20" s="42">
        <f>COUNTIF(sales_rep, W20)</f>
        <v>5</v>
      </c>
      <c r="Y20" s="46">
        <f>SUMIF(sales_rep,W20,amount)</f>
        <v>42680</v>
      </c>
      <c r="Z20" s="21">
        <f>SUMIF(sales_rep,W20,quantity_sold)</f>
        <v>194</v>
      </c>
    </row>
    <row r="21" spans="1:26" ht="15" thickBot="1" x14ac:dyDescent="0.3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26">
        <v>5280</v>
      </c>
      <c r="H21" s="16" t="s">
        <v>21</v>
      </c>
      <c r="I21" s="12">
        <f>COUNTA(quantity_sold)</f>
        <v>24</v>
      </c>
      <c r="J21" s="17">
        <f>COUNTA(amount)</f>
        <v>24</v>
      </c>
      <c r="R21" s="23" t="s">
        <v>11</v>
      </c>
      <c r="S21" s="24">
        <f>SUMIFS(quantity_sold,sales_rep,$R21,year,S$16)</f>
        <v>132</v>
      </c>
      <c r="T21" s="24">
        <f>SUMIFS(quantity_sold,sales_rep,$R21,year,T$16)</f>
        <v>152</v>
      </c>
      <c r="U21" s="24">
        <f>SUMIFS(quantity_sold,sales_rep,$R21,year,U$16)</f>
        <v>92</v>
      </c>
      <c r="W21" s="22" t="s">
        <v>18</v>
      </c>
      <c r="X21" s="42">
        <f>COUNTIF(sales_rep, W21)</f>
        <v>3</v>
      </c>
      <c r="Y21" s="46">
        <f>SUMIF(sales_rep,W21,amount)</f>
        <v>52140</v>
      </c>
      <c r="Z21" s="21">
        <f>SUMIF(sales_rep,W21,quantity_sold)</f>
        <v>237</v>
      </c>
    </row>
    <row r="22" spans="1:26" ht="15" thickBot="1" x14ac:dyDescent="0.3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26">
        <v>10340</v>
      </c>
      <c r="S22" s="28"/>
      <c r="W22" s="23" t="s">
        <v>11</v>
      </c>
      <c r="X22" s="42">
        <f>COUNTIF(sales_rep, W22)</f>
        <v>7</v>
      </c>
      <c r="Y22" s="46">
        <f>SUMIF(sales_rep,W22,amount)</f>
        <v>82720</v>
      </c>
      <c r="Z22" s="21">
        <f>SUMIF(sales_rep,W22,quantity_sold)</f>
        <v>376</v>
      </c>
    </row>
    <row r="23" spans="1:26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26">
        <v>9020</v>
      </c>
    </row>
    <row r="24" spans="1:26" ht="15" thickBot="1" x14ac:dyDescent="0.3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26">
        <v>11440</v>
      </c>
      <c r="J24" s="27"/>
    </row>
    <row r="25" spans="1:26" ht="15" thickBot="1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26">
        <v>7920</v>
      </c>
      <c r="R25" s="47" t="s">
        <v>28</v>
      </c>
      <c r="S25" s="48"/>
      <c r="T25" s="48"/>
      <c r="U25" s="48"/>
    </row>
    <row r="26" spans="1:26" ht="15" thickBot="1" x14ac:dyDescent="0.3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26">
        <v>13200</v>
      </c>
      <c r="R26" s="40" t="s">
        <v>3</v>
      </c>
      <c r="S26" s="40" t="s">
        <v>25</v>
      </c>
      <c r="T26" s="40" t="s">
        <v>26</v>
      </c>
      <c r="U26" s="40" t="s">
        <v>30</v>
      </c>
    </row>
    <row r="27" spans="1:26" ht="15" thickBot="1" x14ac:dyDescent="0.35">
      <c r="R27" s="41">
        <v>2010</v>
      </c>
      <c r="S27" s="42">
        <f>COUNTIF(year, R27)</f>
        <v>9</v>
      </c>
      <c r="T27" s="46">
        <f>SUMIF(year,R27,amount)</f>
        <v>104720</v>
      </c>
      <c r="U27" s="21">
        <f>SUMIF(year,R27,quantity_sold)</f>
        <v>476</v>
      </c>
    </row>
    <row r="28" spans="1:26" ht="15" thickBot="1" x14ac:dyDescent="0.35">
      <c r="R28" s="14">
        <v>2011</v>
      </c>
      <c r="S28" s="42">
        <f>COUNTIF(year, R28)</f>
        <v>6</v>
      </c>
      <c r="T28" s="46">
        <f>SUMIF(year,R28,amount)</f>
        <v>83600</v>
      </c>
      <c r="U28" s="21">
        <f>SUMIF(year,R28,quantity_sold)</f>
        <v>380</v>
      </c>
    </row>
    <row r="29" spans="1:26" x14ac:dyDescent="0.3">
      <c r="R29" s="22">
        <v>2012</v>
      </c>
      <c r="S29" s="42">
        <f>COUNTIF(year, R29)</f>
        <v>9</v>
      </c>
      <c r="T29" s="46">
        <f>SUMIF(year,R29,amount)</f>
        <v>80960</v>
      </c>
      <c r="U29" s="21">
        <f>SUMIF(year,R29,quantity_sold)</f>
        <v>368</v>
      </c>
    </row>
  </sheetData>
  <sortState xmlns:xlrd2="http://schemas.microsoft.com/office/spreadsheetml/2017/richdata2" ref="S3:U7">
    <sortCondition ref="S3:S7"/>
  </sortState>
  <mergeCells count="9">
    <mergeCell ref="W16:Z16"/>
    <mergeCell ref="R25:U25"/>
    <mergeCell ref="S15:U15"/>
    <mergeCell ref="L16:L20"/>
    <mergeCell ref="I3:K3"/>
    <mergeCell ref="A1:F1"/>
    <mergeCell ref="H14:J14"/>
    <mergeCell ref="N4:N8"/>
    <mergeCell ref="R5:T5"/>
  </mergeCells>
  <conditionalFormatting sqref="F3:F26">
    <cfRule type="cellIs" dxfId="1" priority="20" operator="lessThan">
      <formula>6000</formula>
    </cfRule>
    <cfRule type="cellIs" dxfId="0" priority="21" operator="greaterThan">
      <formula>15000</formula>
    </cfRule>
  </conditionalFormatting>
  <conditionalFormatting sqref="I5:K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6:N20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:O2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U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7:U2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8:X2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8:Y2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8:Z2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7:S29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7:T29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7:U29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:S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:T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Sales Table</vt:lpstr>
      <vt:lpstr>amount</vt:lpstr>
      <vt:lpstr>quantity_sold</vt:lpstr>
      <vt:lpstr>sales_rep</vt:lpstr>
      <vt:lpstr>year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Fathiu Ligali</cp:lastModifiedBy>
  <dcterms:created xsi:type="dcterms:W3CDTF">2024-05-08T21:08:42Z</dcterms:created>
  <dcterms:modified xsi:type="dcterms:W3CDTF">2026-05-03T13:16:56Z</dcterms:modified>
</cp:coreProperties>
</file>